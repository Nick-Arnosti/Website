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sti/Dropbox/Arnosti_Website/static/"/>
    </mc:Choice>
  </mc:AlternateContent>
  <xr:revisionPtr revIDLastSave="0" documentId="13_ncr:1_{E90A3BCD-05D2-B841-8870-E8E42592D6DB}" xr6:coauthVersionLast="47" xr6:coauthVersionMax="47" xr10:uidLastSave="{00000000-0000-0000-0000-000000000000}"/>
  <bookViews>
    <workbookView xWindow="780" yWindow="500" windowWidth="27640" windowHeight="15800" activeTab="2" xr2:uid="{9168DA33-054C-4340-B3B1-2E1801413A00}"/>
  </bookViews>
  <sheets>
    <sheet name="RIVER CREST APARTMENTS" sheetId="1" r:id="rId1"/>
    <sheet name="Sheet2" sheetId="2" r:id="rId2"/>
    <sheet name="One East Harlem Reside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7" i="3" l="1"/>
  <c r="Q6" i="3"/>
  <c r="Q5" i="3"/>
  <c r="Q4" i="3"/>
  <c r="Q3" i="3"/>
  <c r="P7" i="3"/>
  <c r="O7" i="3"/>
  <c r="N7" i="3"/>
  <c r="M7" i="3"/>
  <c r="I29" i="3"/>
  <c r="I43" i="3"/>
  <c r="I57" i="3"/>
</calcChain>
</file>

<file path=xl/sharedStrings.xml><?xml version="1.0" encoding="utf-8"?>
<sst xmlns="http://schemas.openxmlformats.org/spreadsheetml/2006/main" count="491" uniqueCount="229">
  <si>
    <t>AMI % </t>
  </si>
  <si>
    <t>Layout</t>
  </si>
  <si>
    <t># Units</t>
  </si>
  <si>
    <t>Monthly Rent</t>
  </si>
  <si>
    <t>Household Size</t>
  </si>
  <si>
    <t>Household Income</t>
  </si>
  <si>
    <t>Studio</t>
  </si>
  <si>
    <t>9 units</t>
  </si>
  <si>
    <t>1 person</t>
  </si>
  <si>
    <t>$15,429 - $28,020</t>
  </si>
  <si>
    <t>2 people</t>
  </si>
  <si>
    <t>$15,429 - $32,040</t>
  </si>
  <si>
    <t>2 Bedroom</t>
  </si>
  <si>
    <t>7 units</t>
  </si>
  <si>
    <t>$23,932 - $32,040</t>
  </si>
  <si>
    <t>3 people</t>
  </si>
  <si>
    <t>$23,932 - $36,030</t>
  </si>
  <si>
    <t>4 people</t>
  </si>
  <si>
    <t>$23,932 - $40,020</t>
  </si>
  <si>
    <t>5 people</t>
  </si>
  <si>
    <t>$23,932 - $43,230</t>
  </si>
  <si>
    <t>3 Bedroom</t>
  </si>
  <si>
    <t>5 units</t>
  </si>
  <si>
    <t>$27,703 - $36,030</t>
  </si>
  <si>
    <t>$27,703 - $40,020</t>
  </si>
  <si>
    <t>$27,703 - $43,230</t>
  </si>
  <si>
    <t>6 people</t>
  </si>
  <si>
    <t>$27,703 - $46,440</t>
  </si>
  <si>
    <t>7 people</t>
  </si>
  <si>
    <t>$27,703 - $49,650</t>
  </si>
  <si>
    <t>$20,915 - $37,360</t>
  </si>
  <si>
    <t>$20,915 - $42,720</t>
  </si>
  <si>
    <t>1 Bedroom</t>
  </si>
  <si>
    <t>10 units</t>
  </si>
  <si>
    <t>$26,229 - $37,360</t>
  </si>
  <si>
    <t>$26,229 - $42,720</t>
  </si>
  <si>
    <t>$26,229 - $48,040</t>
  </si>
  <si>
    <t>6 units</t>
  </si>
  <si>
    <t>$32,160 - $42,720</t>
  </si>
  <si>
    <t>$32,160 - $48,040</t>
  </si>
  <si>
    <t>$32,160 - $53,360</t>
  </si>
  <si>
    <t>$32,160 - $57,640</t>
  </si>
  <si>
    <t>$37,200 - $48,040</t>
  </si>
  <si>
    <t>$37,200 - $53,360</t>
  </si>
  <si>
    <t>$37,200 - $57,640</t>
  </si>
  <si>
    <t>$37,200 - $61,920</t>
  </si>
  <si>
    <t>$37,200 - $66,200</t>
  </si>
  <si>
    <t>$26,435 - $46,700</t>
  </si>
  <si>
    <t>$26,435 - $53,400</t>
  </si>
  <si>
    <t>12 units</t>
  </si>
  <si>
    <t>$33,086 - $46,700</t>
  </si>
  <si>
    <t>$33,086 - $53,400</t>
  </si>
  <si>
    <t>$33,086 - $60,050</t>
  </si>
  <si>
    <t>4 units</t>
  </si>
  <si>
    <t>$40,423 - $53,400</t>
  </si>
  <si>
    <t>$40,423 - $60,050</t>
  </si>
  <si>
    <t>$40,423 - $66,700</t>
  </si>
  <si>
    <t>$40,423 - $72,050</t>
  </si>
  <si>
    <t>3 units</t>
  </si>
  <si>
    <t>$46,732 - $60,050</t>
  </si>
  <si>
    <t>$46,732 - $66,700</t>
  </si>
  <si>
    <t>$46,732 - $72,050</t>
  </si>
  <si>
    <t>$46,732 - $77,400</t>
  </si>
  <si>
    <t>$46,732 - $82,750</t>
  </si>
  <si>
    <t>$42,069 - $56,040</t>
  </si>
  <si>
    <t>$42,069 - $64,080</t>
  </si>
  <si>
    <t>$42,069 - $72,060</t>
  </si>
  <si>
    <t>$50,606 - $64,080</t>
  </si>
  <si>
    <t>$50,606 - $72,060</t>
  </si>
  <si>
    <t>$50,606 - $80,040</t>
  </si>
  <si>
    <t>$50,606 - $86,460</t>
  </si>
  <si>
    <t>$33,738 - $56,040</t>
  </si>
  <si>
    <t>$33,738 - $64,080</t>
  </si>
  <si>
    <t>$58,492 - $72,060</t>
  </si>
  <si>
    <t>$58,492 - $80,040</t>
  </si>
  <si>
    <t>$58,492 - $86,460</t>
  </si>
  <si>
    <t>$58,492 - $92,880</t>
  </si>
  <si>
    <t>$58,492 - $99,300</t>
  </si>
  <si>
    <t>13 units</t>
  </si>
  <si>
    <t>$39,600 - $65,380</t>
  </si>
  <si>
    <t>$39,600 - $74,760</t>
  </si>
  <si>
    <t>15 units</t>
  </si>
  <si>
    <t>$49,372 - $65,380</t>
  </si>
  <si>
    <t>$49,372 - $74,760</t>
  </si>
  <si>
    <t>$49,372 - $84,070</t>
  </si>
  <si>
    <t>$59,383 - $74,760</t>
  </si>
  <si>
    <t>$59,383 - $84,070</t>
  </si>
  <si>
    <t>$59,383 - $93,380</t>
  </si>
  <si>
    <t>$59,383 - $100,870</t>
  </si>
  <si>
    <t>$68,606 - $84,070</t>
  </si>
  <si>
    <t>$68,606 - $93,380</t>
  </si>
  <si>
    <t>$68,606 - $100,870</t>
  </si>
  <si>
    <t>$68,606 - $108,360</t>
  </si>
  <si>
    <t>$68,606 - $115,850</t>
  </si>
  <si>
    <t>14 units</t>
  </si>
  <si>
    <t>$42,892 - $74,720</t>
  </si>
  <si>
    <t>$42,892 - $85,440</t>
  </si>
  <si>
    <t>34 units</t>
  </si>
  <si>
    <t>$53,658 - $74,720</t>
  </si>
  <si>
    <t>$53,658 - $85,440</t>
  </si>
  <si>
    <t>$53,658 - $96,080</t>
  </si>
  <si>
    <t>$65,109 - $85,440</t>
  </si>
  <si>
    <t>$65,109 - $96,080</t>
  </si>
  <si>
    <t>$65,109 - $106,720</t>
  </si>
  <si>
    <t>$65,109 - $115,280</t>
  </si>
  <si>
    <t>$75,258 - $96,080</t>
  </si>
  <si>
    <t>$75,258 - $106,720</t>
  </si>
  <si>
    <t>$75,258 - $115,280</t>
  </si>
  <si>
    <t>$75,258 - $123,840</t>
  </si>
  <si>
    <t>$75,258 - $132,400</t>
  </si>
  <si>
    <t>17 units</t>
  </si>
  <si>
    <t>$19,372 - $28,020</t>
  </si>
  <si>
    <t>$19,372 - $32,040</t>
  </si>
  <si>
    <t>$19,372 - $36,030</t>
  </si>
  <si>
    <t>https://housingconnect.nyc.gov/PublicWeb/details/2849</t>
  </si>
  <si>
    <t>Lottery ends in 40 days - Jun 27, 2022</t>
  </si>
  <si>
    <t>RIVER CREST APARTMENTS</t>
  </si>
  <si>
    <t> 1164 River Ave, Bronx, NY 10452</t>
  </si>
  <si>
    <t>A couple making $30k coult match to 6 different types (highlighted in yellow)</t>
  </si>
  <si>
    <t>$48,206 - $65,380</t>
  </si>
  <si>
    <t>$48,206 - $74,760</t>
  </si>
  <si>
    <t>$51,669 - $65,380</t>
  </si>
  <si>
    <t>$51,669 - $74,760</t>
  </si>
  <si>
    <t>$51,669 - $84,070</t>
  </si>
  <si>
    <t>18 units</t>
  </si>
  <si>
    <t>$62,160 - $74,760</t>
  </si>
  <si>
    <t>$62,160 - $84,070</t>
  </si>
  <si>
    <t>$62,160 - $93,380</t>
  </si>
  <si>
    <t>$62,160 - $100,870</t>
  </si>
  <si>
    <t>1 unit</t>
  </si>
  <si>
    <t>$71,829 - $84,070</t>
  </si>
  <si>
    <t>$71,829 - $93,380</t>
  </si>
  <si>
    <t>$71,829 - $100,870</t>
  </si>
  <si>
    <t>$71,829 - $108,360</t>
  </si>
  <si>
    <t>$71,829 - $115,850</t>
  </si>
  <si>
    <t>$55,029 - $74,720</t>
  </si>
  <si>
    <t>$55,029 - $85,440</t>
  </si>
  <si>
    <t>$59,006 - $74,720</t>
  </si>
  <si>
    <t>$59,006 - $85,440</t>
  </si>
  <si>
    <t>$59,006 - $96,080</t>
  </si>
  <si>
    <t>2 units</t>
  </si>
  <si>
    <t>$81,978 - $96,080</t>
  </si>
  <si>
    <t>$81,978 - $106,720</t>
  </si>
  <si>
    <t>$81,978 - $115,280</t>
  </si>
  <si>
    <t>$81,978 - $123,840</t>
  </si>
  <si>
    <t>$81,978 - $132,400</t>
  </si>
  <si>
    <t>8 units</t>
  </si>
  <si>
    <t>$90,652 - $121,420</t>
  </si>
  <si>
    <t>$90,652 - $138,840</t>
  </si>
  <si>
    <t>$96,926 - $121,420</t>
  </si>
  <si>
    <t>$96,926 - $138,840</t>
  </si>
  <si>
    <t>$96,926 - $156,130</t>
  </si>
  <si>
    <t>$115,920 - $138,840</t>
  </si>
  <si>
    <t>$115,920 - $156,130</t>
  </si>
  <si>
    <t>$115,920 - $173,420</t>
  </si>
  <si>
    <t>$115,920 - $187,330</t>
  </si>
  <si>
    <t>$133,612 - $156,130</t>
  </si>
  <si>
    <t>$133,612 - $173,420</t>
  </si>
  <si>
    <t>$133,612 - $187,330</t>
  </si>
  <si>
    <t>$133,612 - $201,240</t>
  </si>
  <si>
    <t>$133,612 - $215,150</t>
  </si>
  <si>
    <t>$24,000 - $37,360</t>
  </si>
  <si>
    <t>$24,000 - $42,720</t>
  </si>
  <si>
    <t>11 units</t>
  </si>
  <si>
    <t>$30,000 - $37,360</t>
  </si>
  <si>
    <t>$30,000 - $42,720</t>
  </si>
  <si>
    <t>$30,000 - $48,040</t>
  </si>
  <si>
    <t>21 units</t>
  </si>
  <si>
    <t>$36,000 - $42,720</t>
  </si>
  <si>
    <t>$36,000 - $48,040</t>
  </si>
  <si>
    <t>$36,000 - $53,360</t>
  </si>
  <si>
    <t>$36,000 - $57,640</t>
  </si>
  <si>
    <t>$41,623 - $48,040</t>
  </si>
  <si>
    <t>$41,623 - $53,360</t>
  </si>
  <si>
    <t>$41,623 - $57,640</t>
  </si>
  <si>
    <t>$41,623 - $61,920</t>
  </si>
  <si>
    <t>$41,623 - $66,200</t>
  </si>
  <si>
    <t>$30,892 - $46,700</t>
  </si>
  <si>
    <t>$30,892 - $53,400</t>
  </si>
  <si>
    <t>22 units</t>
  </si>
  <si>
    <t>$46,320 - $53,400</t>
  </si>
  <si>
    <t>$46,320 - $60,050</t>
  </si>
  <si>
    <t>$46,320 - $66,700</t>
  </si>
  <si>
    <t>$46,320 - $72,050</t>
  </si>
  <si>
    <t>$53,486 - $60,050</t>
  </si>
  <si>
    <t>$53,486 - $66,700</t>
  </si>
  <si>
    <t>$53,486 - $72,050</t>
  </si>
  <si>
    <t>$53,486 - $77,400</t>
  </si>
  <si>
    <t>$53,486 - $82,750</t>
  </si>
  <si>
    <t>$51,463 - $93,400</t>
  </si>
  <si>
    <t>$51,463 - $106,800</t>
  </si>
  <si>
    <t>16 units</t>
  </si>
  <si>
    <t>$64,320 - $93,400</t>
  </si>
  <si>
    <t>$64,320 - $106,800</t>
  </si>
  <si>
    <t>$64,320 - $120,100</t>
  </si>
  <si>
    <t>32 units</t>
  </si>
  <si>
    <t>$77,178 - $106,800</t>
  </si>
  <si>
    <t>$77,178 - $120,100</t>
  </si>
  <si>
    <t>$77,178 - $133,400</t>
  </si>
  <si>
    <t>$77,178 - $144,100</t>
  </si>
  <si>
    <t>$89,178 - $120,100</t>
  </si>
  <si>
    <t>$89,178 - $133,400</t>
  </si>
  <si>
    <t>$89,178 - $144,100</t>
  </si>
  <si>
    <t>$89,178 - $154,800</t>
  </si>
  <si>
    <t>$89,178 - $165,500</t>
  </si>
  <si>
    <t>23 units</t>
  </si>
  <si>
    <t>$64,800 - $154,110</t>
  </si>
  <si>
    <t>$64,800 - $176,220</t>
  </si>
  <si>
    <t>24 units</t>
  </si>
  <si>
    <t>$80,983 - $154,110</t>
  </si>
  <si>
    <t>$80,983 - $176,220</t>
  </si>
  <si>
    <t>$80,983 - $198,165</t>
  </si>
  <si>
    <t>41 units</t>
  </si>
  <si>
    <t>$97,235 - $176,220</t>
  </si>
  <si>
    <t>$97,235 - $198,165</t>
  </si>
  <si>
    <t>$97,235 - $220,110</t>
  </si>
  <si>
    <t>$97,235 - $237,765</t>
  </si>
  <si>
    <t>$112,389 - $198,165</t>
  </si>
  <si>
    <t>$112,389 - $220,110</t>
  </si>
  <si>
    <t>$112,389 - $237,765</t>
  </si>
  <si>
    <t>$112,389 - $255,420</t>
  </si>
  <si>
    <t>$112,389 - $273,075</t>
  </si>
  <si>
    <t>$38,606 - $46,700</t>
  </si>
  <si>
    <t>$38,606 - $53,400</t>
  </si>
  <si>
    <t>$38,606 - $60,050</t>
  </si>
  <si>
    <t>1 Bed</t>
  </si>
  <si>
    <t>2 Bed</t>
  </si>
  <si>
    <t>3 Bed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</si>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</sst>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Inherit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9" fontId="2" fillId="0" borderId="0" xfId="0" applyNumberFormat="1" applyFont="1"/>
    <xf numFmtId="0" fontId="2" fillId="0" borderId="0" xfId="0" applyFont="1"/>
    <xf numFmtId="6" fontId="2" fillId="0" borderId="0" xfId="0" applyNumberFormat="1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2" borderId="0" xfId="0" applyFont="1" applyFill="1"/>
    <xf numFmtId="0" fontId="0" fillId="2" borderId="0" xfId="0" applyFill="1"/>
    <xf numFmtId="0" fontId="5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117F-AFB7-8B48-B15A-ABD668DED8D6}">
  <dimension ref="A1:M116"/>
  <sheetViews>
    <sheetView topLeftCell="A22" workbookViewId="0">
      <selection activeCell="I3" sqref="I3"/>
    </sheetView>
  </sheetViews>
  <sheetFormatPr baseColWidth="10" defaultRowHeight="16"/>
  <sheetData>
    <row r="1" spans="1:13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114</v>
      </c>
    </row>
    <row r="2" spans="1:13" ht="19">
      <c r="A2" s="2">
        <v>0.3</v>
      </c>
      <c r="B2" s="3" t="s">
        <v>6</v>
      </c>
      <c r="C2" s="3" t="s">
        <v>7</v>
      </c>
      <c r="D2" s="4">
        <v>375</v>
      </c>
      <c r="E2" s="3" t="s">
        <v>8</v>
      </c>
      <c r="F2" s="3" t="s">
        <v>9</v>
      </c>
      <c r="I2" s="3" t="s">
        <v>115</v>
      </c>
      <c r="J2" s="6"/>
      <c r="K2" s="6"/>
      <c r="L2" s="6"/>
      <c r="M2" s="6"/>
    </row>
    <row r="3" spans="1:13" ht="19">
      <c r="D3" s="5"/>
      <c r="E3" s="8" t="s">
        <v>10</v>
      </c>
      <c r="F3" s="8" t="s">
        <v>11</v>
      </c>
      <c r="G3" s="9"/>
      <c r="I3" s="7" t="s">
        <v>116</v>
      </c>
      <c r="J3" s="6"/>
      <c r="K3" s="6"/>
      <c r="L3" s="6"/>
      <c r="M3" s="6"/>
    </row>
    <row r="4" spans="1:13" ht="19">
      <c r="A4" s="2">
        <v>0.3</v>
      </c>
      <c r="B4" s="3" t="s">
        <v>32</v>
      </c>
      <c r="C4" s="3" t="s">
        <v>110</v>
      </c>
      <c r="D4" s="4">
        <v>481</v>
      </c>
      <c r="E4" s="3" t="s">
        <v>8</v>
      </c>
      <c r="F4" s="3" t="s">
        <v>111</v>
      </c>
      <c r="G4" s="5"/>
      <c r="I4" s="6"/>
      <c r="J4" s="6"/>
      <c r="K4" s="6"/>
      <c r="L4" s="6"/>
      <c r="M4" s="6"/>
    </row>
    <row r="5" spans="1:13" ht="19">
      <c r="D5" s="5"/>
      <c r="E5" s="8" t="s">
        <v>10</v>
      </c>
      <c r="F5" s="8" t="s">
        <v>112</v>
      </c>
      <c r="G5" s="9"/>
      <c r="I5" s="7" t="s">
        <v>117</v>
      </c>
      <c r="J5" s="6"/>
      <c r="K5" s="6"/>
      <c r="L5" s="6"/>
      <c r="M5" s="6"/>
    </row>
    <row r="6" spans="1:13" ht="19">
      <c r="D6" s="5"/>
      <c r="E6" s="3" t="s">
        <v>15</v>
      </c>
      <c r="F6" s="3" t="s">
        <v>113</v>
      </c>
      <c r="G6" s="5"/>
      <c r="I6" s="6"/>
      <c r="J6" s="6"/>
      <c r="K6" s="6"/>
      <c r="L6" s="6"/>
      <c r="M6" s="6"/>
    </row>
    <row r="7" spans="1:13" ht="18">
      <c r="D7" s="5"/>
      <c r="E7" s="3" t="s">
        <v>10</v>
      </c>
      <c r="F7" s="3" t="s">
        <v>112</v>
      </c>
      <c r="G7" s="5"/>
    </row>
    <row r="8" spans="1:13" ht="18">
      <c r="D8" s="5"/>
      <c r="E8" s="3" t="s">
        <v>15</v>
      </c>
      <c r="F8" s="3" t="s">
        <v>113</v>
      </c>
      <c r="G8" s="5"/>
      <c r="I8" t="s">
        <v>118</v>
      </c>
    </row>
    <row r="9" spans="1:13" ht="18">
      <c r="A9" s="2">
        <v>0.3</v>
      </c>
      <c r="B9" s="3" t="s">
        <v>12</v>
      </c>
      <c r="C9" s="3" t="s">
        <v>13</v>
      </c>
      <c r="D9" s="4">
        <v>588</v>
      </c>
      <c r="E9" s="8" t="s">
        <v>10</v>
      </c>
      <c r="F9" s="8" t="s">
        <v>14</v>
      </c>
      <c r="G9" s="10"/>
    </row>
    <row r="10" spans="1:13" ht="18">
      <c r="D10" s="5"/>
      <c r="E10" s="3" t="s">
        <v>15</v>
      </c>
      <c r="F10" s="3" t="s">
        <v>16</v>
      </c>
      <c r="G10" s="5"/>
    </row>
    <row r="11" spans="1:13" ht="18">
      <c r="D11" s="5"/>
      <c r="E11" s="3" t="s">
        <v>17</v>
      </c>
      <c r="F11" s="3" t="s">
        <v>18</v>
      </c>
      <c r="G11" s="5"/>
    </row>
    <row r="12" spans="1:13" ht="18">
      <c r="D12" s="5"/>
      <c r="E12" s="3" t="s">
        <v>19</v>
      </c>
      <c r="F12" s="3" t="s">
        <v>20</v>
      </c>
      <c r="G12" s="5"/>
    </row>
    <row r="13" spans="1:13" ht="18">
      <c r="A13" s="2">
        <v>0.3</v>
      </c>
      <c r="B13" s="3" t="s">
        <v>21</v>
      </c>
      <c r="C13" s="3" t="s">
        <v>22</v>
      </c>
      <c r="D13" s="4">
        <v>672</v>
      </c>
      <c r="E13" s="3" t="s">
        <v>15</v>
      </c>
      <c r="F13" s="3" t="s">
        <v>23</v>
      </c>
    </row>
    <row r="14" spans="1:13" ht="18">
      <c r="D14" s="5"/>
      <c r="E14" s="3" t="s">
        <v>17</v>
      </c>
      <c r="F14" s="3" t="s">
        <v>24</v>
      </c>
      <c r="G14" s="5"/>
    </row>
    <row r="15" spans="1:13" ht="18">
      <c r="D15" s="5"/>
      <c r="E15" s="3" t="s">
        <v>19</v>
      </c>
      <c r="F15" s="3" t="s">
        <v>25</v>
      </c>
      <c r="G15" s="5"/>
    </row>
    <row r="16" spans="1:13" ht="18">
      <c r="D16" s="5"/>
      <c r="E16" s="3" t="s">
        <v>26</v>
      </c>
      <c r="F16" s="3" t="s">
        <v>27</v>
      </c>
      <c r="G16" s="5"/>
    </row>
    <row r="17" spans="1:7" ht="18">
      <c r="D17" s="5"/>
      <c r="E17" s="3" t="s">
        <v>28</v>
      </c>
      <c r="F17" s="3" t="s">
        <v>29</v>
      </c>
      <c r="G17" s="5"/>
    </row>
    <row r="18" spans="1:7" ht="18">
      <c r="A18" s="2">
        <v>0.4</v>
      </c>
      <c r="B18" s="3" t="s">
        <v>6</v>
      </c>
      <c r="C18" s="3" t="s">
        <v>22</v>
      </c>
      <c r="D18" s="4">
        <v>535</v>
      </c>
      <c r="E18" s="3" t="s">
        <v>8</v>
      </c>
      <c r="F18" s="3" t="s">
        <v>30</v>
      </c>
    </row>
    <row r="19" spans="1:7" ht="18">
      <c r="D19" s="5"/>
      <c r="E19" s="8" t="s">
        <v>10</v>
      </c>
      <c r="F19" s="8" t="s">
        <v>31</v>
      </c>
      <c r="G19" s="9"/>
    </row>
    <row r="20" spans="1:7" ht="18">
      <c r="A20" s="2">
        <v>0.4</v>
      </c>
      <c r="B20" s="3" t="s">
        <v>32</v>
      </c>
      <c r="C20" s="3" t="s">
        <v>33</v>
      </c>
      <c r="D20" s="4">
        <v>681</v>
      </c>
      <c r="E20" s="3" t="s">
        <v>8</v>
      </c>
      <c r="F20" s="3" t="s">
        <v>34</v>
      </c>
    </row>
    <row r="21" spans="1:7" ht="18">
      <c r="D21" s="5"/>
      <c r="E21" s="8" t="s">
        <v>10</v>
      </c>
      <c r="F21" s="8" t="s">
        <v>35</v>
      </c>
      <c r="G21" s="9"/>
    </row>
    <row r="22" spans="1:7" ht="18">
      <c r="D22" s="5"/>
      <c r="E22" s="3" t="s">
        <v>15</v>
      </c>
      <c r="F22" s="3" t="s">
        <v>36</v>
      </c>
      <c r="G22" s="5"/>
    </row>
    <row r="23" spans="1:7" ht="18">
      <c r="A23" s="2">
        <v>0.4</v>
      </c>
      <c r="B23" s="3" t="s">
        <v>12</v>
      </c>
      <c r="C23" s="3" t="s">
        <v>37</v>
      </c>
      <c r="D23" s="4">
        <v>828</v>
      </c>
      <c r="E23" s="3" t="s">
        <v>10</v>
      </c>
      <c r="F23" s="3" t="s">
        <v>38</v>
      </c>
    </row>
    <row r="24" spans="1:7" ht="18">
      <c r="D24" s="5"/>
      <c r="E24" s="3" t="s">
        <v>15</v>
      </c>
      <c r="F24" s="3" t="s">
        <v>39</v>
      </c>
      <c r="G24" s="5"/>
    </row>
    <row r="25" spans="1:7" ht="18">
      <c r="D25" s="5"/>
      <c r="E25" s="3" t="s">
        <v>17</v>
      </c>
      <c r="F25" s="3" t="s">
        <v>40</v>
      </c>
      <c r="G25" s="5"/>
    </row>
    <row r="26" spans="1:7" ht="18">
      <c r="D26" s="5"/>
      <c r="E26" s="3" t="s">
        <v>19</v>
      </c>
      <c r="F26" s="3" t="s">
        <v>41</v>
      </c>
      <c r="G26" s="5"/>
    </row>
    <row r="27" spans="1:7" ht="18">
      <c r="A27" s="2">
        <v>0.4</v>
      </c>
      <c r="B27" s="3" t="s">
        <v>21</v>
      </c>
      <c r="C27" s="3" t="s">
        <v>22</v>
      </c>
      <c r="D27" s="4">
        <v>949</v>
      </c>
      <c r="E27" s="3" t="s">
        <v>15</v>
      </c>
      <c r="F27" s="3" t="s">
        <v>42</v>
      </c>
    </row>
    <row r="28" spans="1:7" ht="18">
      <c r="D28" s="5"/>
      <c r="E28" s="3" t="s">
        <v>17</v>
      </c>
      <c r="F28" s="3" t="s">
        <v>43</v>
      </c>
      <c r="G28" s="5"/>
    </row>
    <row r="29" spans="1:7" ht="18">
      <c r="D29" s="5"/>
      <c r="E29" s="3" t="s">
        <v>19</v>
      </c>
      <c r="F29" s="3" t="s">
        <v>44</v>
      </c>
      <c r="G29" s="5"/>
    </row>
    <row r="30" spans="1:7" ht="18">
      <c r="D30" s="5"/>
      <c r="E30" s="3" t="s">
        <v>26</v>
      </c>
      <c r="F30" s="3" t="s">
        <v>45</v>
      </c>
      <c r="G30" s="5"/>
    </row>
    <row r="31" spans="1:7" ht="18">
      <c r="D31" s="5"/>
      <c r="E31" s="3" t="s">
        <v>28</v>
      </c>
      <c r="F31" s="3" t="s">
        <v>46</v>
      </c>
      <c r="G31" s="5"/>
    </row>
    <row r="32" spans="1:7" ht="18">
      <c r="A32" s="2">
        <v>0.5</v>
      </c>
      <c r="B32" s="3" t="s">
        <v>6</v>
      </c>
      <c r="C32" s="3" t="s">
        <v>37</v>
      </c>
      <c r="D32" s="4">
        <v>696</v>
      </c>
      <c r="E32" s="3" t="s">
        <v>8</v>
      </c>
      <c r="F32" s="3" t="s">
        <v>47</v>
      </c>
    </row>
    <row r="33" spans="1:7" ht="18">
      <c r="D33" s="5"/>
      <c r="E33" s="8" t="s">
        <v>10</v>
      </c>
      <c r="F33" s="8" t="s">
        <v>48</v>
      </c>
      <c r="G33" s="9"/>
    </row>
    <row r="34" spans="1:7" ht="18">
      <c r="A34" s="2">
        <v>0.5</v>
      </c>
      <c r="B34" s="3" t="s">
        <v>32</v>
      </c>
      <c r="C34" s="3" t="s">
        <v>49</v>
      </c>
      <c r="D34" s="4">
        <v>881</v>
      </c>
      <c r="E34" s="3" t="s">
        <v>8</v>
      </c>
      <c r="F34" s="3" t="s">
        <v>50</v>
      </c>
    </row>
    <row r="35" spans="1:7" ht="18">
      <c r="D35" s="5"/>
      <c r="E35" s="3" t="s">
        <v>10</v>
      </c>
      <c r="F35" s="3" t="s">
        <v>51</v>
      </c>
      <c r="G35" s="5"/>
    </row>
    <row r="36" spans="1:7" ht="18">
      <c r="D36" s="5"/>
      <c r="E36" s="3" t="s">
        <v>15</v>
      </c>
      <c r="F36" s="3" t="s">
        <v>52</v>
      </c>
      <c r="G36" s="5"/>
    </row>
    <row r="37" spans="1:7" ht="18">
      <c r="A37" s="2">
        <v>0.5</v>
      </c>
      <c r="B37" s="3" t="s">
        <v>12</v>
      </c>
      <c r="C37" s="3" t="s">
        <v>53</v>
      </c>
      <c r="D37" s="4">
        <v>1069</v>
      </c>
      <c r="E37" s="3" t="s">
        <v>10</v>
      </c>
      <c r="F37" s="3" t="s">
        <v>54</v>
      </c>
    </row>
    <row r="38" spans="1:7" ht="18">
      <c r="D38" s="5"/>
      <c r="E38" s="3" t="s">
        <v>15</v>
      </c>
      <c r="F38" s="3" t="s">
        <v>55</v>
      </c>
      <c r="G38" s="5"/>
    </row>
    <row r="39" spans="1:7" ht="18">
      <c r="D39" s="5"/>
      <c r="E39" s="3" t="s">
        <v>17</v>
      </c>
      <c r="F39" s="3" t="s">
        <v>56</v>
      </c>
      <c r="G39" s="5"/>
    </row>
    <row r="40" spans="1:7" ht="18">
      <c r="D40" s="5"/>
      <c r="E40" s="3" t="s">
        <v>19</v>
      </c>
      <c r="F40" s="3" t="s">
        <v>57</v>
      </c>
      <c r="G40" s="5"/>
    </row>
    <row r="41" spans="1:7" ht="18">
      <c r="A41" s="2">
        <v>0.5</v>
      </c>
      <c r="B41" s="3" t="s">
        <v>21</v>
      </c>
      <c r="C41" s="3" t="s">
        <v>58</v>
      </c>
      <c r="D41" s="4">
        <v>1227</v>
      </c>
      <c r="E41" s="3" t="s">
        <v>15</v>
      </c>
      <c r="F41" s="3" t="s">
        <v>59</v>
      </c>
    </row>
    <row r="42" spans="1:7" ht="18">
      <c r="D42" s="5"/>
      <c r="E42" s="3" t="s">
        <v>17</v>
      </c>
      <c r="F42" s="3" t="s">
        <v>60</v>
      </c>
      <c r="G42" s="5"/>
    </row>
    <row r="43" spans="1:7" ht="18">
      <c r="D43" s="5"/>
      <c r="E43" s="3" t="s">
        <v>19</v>
      </c>
      <c r="F43" s="3" t="s">
        <v>61</v>
      </c>
      <c r="G43" s="5"/>
    </row>
    <row r="44" spans="1:7" ht="18">
      <c r="D44" s="5"/>
      <c r="E44" s="3" t="s">
        <v>26</v>
      </c>
      <c r="F44" s="3" t="s">
        <v>62</v>
      </c>
      <c r="G44" s="5"/>
    </row>
    <row r="45" spans="1:7" ht="18">
      <c r="D45" s="5"/>
      <c r="E45" s="3" t="s">
        <v>28</v>
      </c>
      <c r="F45" s="3" t="s">
        <v>63</v>
      </c>
      <c r="G45" s="5"/>
    </row>
    <row r="46" spans="1:7" ht="18">
      <c r="A46" s="2">
        <v>0.6</v>
      </c>
      <c r="B46" s="3" t="s">
        <v>32</v>
      </c>
      <c r="C46" s="3" t="s">
        <v>49</v>
      </c>
      <c r="D46" s="4">
        <v>1143</v>
      </c>
      <c r="E46" s="3" t="s">
        <v>8</v>
      </c>
      <c r="F46" s="3" t="s">
        <v>64</v>
      </c>
    </row>
    <row r="47" spans="1:7" ht="18">
      <c r="D47" s="5"/>
      <c r="E47" s="3" t="s">
        <v>10</v>
      </c>
      <c r="F47" s="3" t="s">
        <v>65</v>
      </c>
      <c r="G47" s="5"/>
    </row>
    <row r="48" spans="1:7" ht="18">
      <c r="D48" s="5"/>
      <c r="E48" s="3" t="s">
        <v>15</v>
      </c>
      <c r="F48" s="3" t="s">
        <v>66</v>
      </c>
      <c r="G48" s="5"/>
    </row>
    <row r="49" spans="1:7" ht="18">
      <c r="A49" s="2">
        <v>0.6</v>
      </c>
      <c r="B49" s="3" t="s">
        <v>12</v>
      </c>
      <c r="C49" s="3" t="s">
        <v>22</v>
      </c>
      <c r="D49" s="4">
        <v>1366</v>
      </c>
      <c r="E49" s="3" t="s">
        <v>10</v>
      </c>
      <c r="F49" s="3" t="s">
        <v>67</v>
      </c>
    </row>
    <row r="50" spans="1:7" ht="18">
      <c r="D50" s="5"/>
      <c r="E50" s="3" t="s">
        <v>15</v>
      </c>
      <c r="F50" s="3" t="s">
        <v>68</v>
      </c>
      <c r="G50" s="5"/>
    </row>
    <row r="51" spans="1:7" ht="18">
      <c r="D51" s="5"/>
      <c r="E51" s="3" t="s">
        <v>17</v>
      </c>
      <c r="F51" s="3" t="s">
        <v>69</v>
      </c>
      <c r="G51" s="5"/>
    </row>
    <row r="52" spans="1:7" ht="18">
      <c r="D52" s="5"/>
      <c r="E52" s="3" t="s">
        <v>19</v>
      </c>
      <c r="F52" s="3" t="s">
        <v>70</v>
      </c>
      <c r="G52" s="5"/>
    </row>
    <row r="53" spans="1:7" ht="18">
      <c r="A53" s="2">
        <v>0.6</v>
      </c>
      <c r="B53" s="3" t="s">
        <v>6</v>
      </c>
      <c r="C53" s="3" t="s">
        <v>37</v>
      </c>
      <c r="D53" s="4">
        <v>909</v>
      </c>
      <c r="E53" s="3" t="s">
        <v>8</v>
      </c>
      <c r="F53" s="3" t="s">
        <v>71</v>
      </c>
    </row>
    <row r="54" spans="1:7" ht="18">
      <c r="D54" s="5"/>
      <c r="E54" s="3" t="s">
        <v>10</v>
      </c>
      <c r="F54" s="3" t="s">
        <v>72</v>
      </c>
      <c r="G54" s="5"/>
    </row>
    <row r="55" spans="1:7" ht="18">
      <c r="A55" s="2">
        <v>0.6</v>
      </c>
      <c r="B55" s="3" t="s">
        <v>21</v>
      </c>
      <c r="C55" s="3" t="s">
        <v>58</v>
      </c>
      <c r="D55" s="4">
        <v>1570</v>
      </c>
      <c r="E55" s="3" t="s">
        <v>15</v>
      </c>
      <c r="F55" s="3" t="s">
        <v>73</v>
      </c>
    </row>
    <row r="56" spans="1:7" ht="18">
      <c r="D56" s="5"/>
      <c r="E56" s="3" t="s">
        <v>17</v>
      </c>
      <c r="F56" s="3" t="s">
        <v>74</v>
      </c>
      <c r="G56" s="5"/>
    </row>
    <row r="57" spans="1:7" ht="18">
      <c r="D57" s="5"/>
      <c r="E57" s="3" t="s">
        <v>19</v>
      </c>
      <c r="F57" s="3" t="s">
        <v>75</v>
      </c>
      <c r="G57" s="5"/>
    </row>
    <row r="58" spans="1:7" ht="18">
      <c r="D58" s="5"/>
      <c r="E58" s="3" t="s">
        <v>26</v>
      </c>
      <c r="F58" s="3" t="s">
        <v>76</v>
      </c>
      <c r="G58" s="5"/>
    </row>
    <row r="59" spans="1:7" ht="18">
      <c r="D59" s="5"/>
      <c r="E59" s="3" t="s">
        <v>28</v>
      </c>
      <c r="F59" s="3" t="s">
        <v>77</v>
      </c>
      <c r="G59" s="5"/>
    </row>
    <row r="60" spans="1:7" ht="18">
      <c r="A60" s="2">
        <v>0.7</v>
      </c>
      <c r="B60" s="3" t="s">
        <v>6</v>
      </c>
      <c r="C60" s="3" t="s">
        <v>78</v>
      </c>
      <c r="D60" s="4">
        <v>1080</v>
      </c>
      <c r="E60" s="3" t="s">
        <v>8</v>
      </c>
      <c r="F60" s="3" t="s">
        <v>79</v>
      </c>
    </row>
    <row r="61" spans="1:7" ht="18">
      <c r="D61" s="5"/>
      <c r="E61" s="3" t="s">
        <v>10</v>
      </c>
      <c r="F61" s="3" t="s">
        <v>80</v>
      </c>
      <c r="G61" s="5"/>
    </row>
    <row r="62" spans="1:7" ht="18">
      <c r="A62" s="2">
        <v>0.7</v>
      </c>
      <c r="B62" s="3" t="s">
        <v>32</v>
      </c>
      <c r="C62" s="3" t="s">
        <v>81</v>
      </c>
      <c r="D62" s="4">
        <v>1356</v>
      </c>
      <c r="E62" s="3" t="s">
        <v>8</v>
      </c>
      <c r="F62" s="3" t="s">
        <v>82</v>
      </c>
    </row>
    <row r="63" spans="1:7" ht="18">
      <c r="D63" s="5"/>
      <c r="E63" s="3" t="s">
        <v>10</v>
      </c>
      <c r="F63" s="3" t="s">
        <v>83</v>
      </c>
      <c r="G63" s="5"/>
    </row>
    <row r="64" spans="1:7" ht="18">
      <c r="D64" s="5"/>
      <c r="E64" s="3" t="s">
        <v>15</v>
      </c>
      <c r="F64" s="3" t="s">
        <v>84</v>
      </c>
      <c r="G64" s="5"/>
    </row>
    <row r="65" spans="1:7" ht="18">
      <c r="A65" s="2">
        <v>0.7</v>
      </c>
      <c r="B65" s="3" t="s">
        <v>12</v>
      </c>
      <c r="C65" s="3" t="s">
        <v>78</v>
      </c>
      <c r="D65" s="4">
        <v>1622</v>
      </c>
      <c r="E65" s="3" t="s">
        <v>10</v>
      </c>
      <c r="F65" s="3" t="s">
        <v>85</v>
      </c>
    </row>
    <row r="66" spans="1:7" ht="18">
      <c r="D66" s="5"/>
      <c r="E66" s="3" t="s">
        <v>15</v>
      </c>
      <c r="F66" s="3" t="s">
        <v>86</v>
      </c>
      <c r="G66" s="5"/>
    </row>
    <row r="67" spans="1:7" ht="18">
      <c r="D67" s="5"/>
      <c r="E67" s="3" t="s">
        <v>17</v>
      </c>
      <c r="F67" s="3" t="s">
        <v>87</v>
      </c>
      <c r="G67" s="5"/>
    </row>
    <row r="68" spans="1:7" ht="18">
      <c r="D68" s="5"/>
      <c r="E68" s="3" t="s">
        <v>19</v>
      </c>
      <c r="F68" s="3" t="s">
        <v>88</v>
      </c>
      <c r="G68" s="5"/>
    </row>
    <row r="69" spans="1:7" ht="18">
      <c r="A69" s="2">
        <v>0.7</v>
      </c>
      <c r="B69" s="3" t="s">
        <v>21</v>
      </c>
      <c r="C69" s="3" t="s">
        <v>13</v>
      </c>
      <c r="D69" s="4">
        <v>1865</v>
      </c>
      <c r="E69" s="3" t="s">
        <v>15</v>
      </c>
      <c r="F69" s="3" t="s">
        <v>89</v>
      </c>
    </row>
    <row r="70" spans="1:7" ht="18">
      <c r="D70" s="5"/>
      <c r="E70" s="3" t="s">
        <v>17</v>
      </c>
      <c r="F70" s="3" t="s">
        <v>90</v>
      </c>
      <c r="G70" s="5"/>
    </row>
    <row r="71" spans="1:7" ht="18">
      <c r="D71" s="5"/>
      <c r="E71" s="3" t="s">
        <v>19</v>
      </c>
      <c r="F71" s="3" t="s">
        <v>91</v>
      </c>
      <c r="G71" s="5"/>
    </row>
    <row r="72" spans="1:7" ht="18">
      <c r="D72" s="5"/>
      <c r="E72" s="3" t="s">
        <v>26</v>
      </c>
      <c r="F72" s="3" t="s">
        <v>92</v>
      </c>
      <c r="G72" s="5"/>
    </row>
    <row r="73" spans="1:7" ht="18">
      <c r="D73" s="5"/>
      <c r="E73" s="3" t="s">
        <v>28</v>
      </c>
      <c r="F73" s="3" t="s">
        <v>93</v>
      </c>
      <c r="G73" s="5"/>
    </row>
    <row r="74" spans="1:7" ht="18">
      <c r="A74" s="2">
        <v>0.8</v>
      </c>
      <c r="B74" s="3" t="s">
        <v>6</v>
      </c>
      <c r="C74" s="3" t="s">
        <v>94</v>
      </c>
      <c r="D74" s="4">
        <v>1176</v>
      </c>
      <c r="E74" s="3" t="s">
        <v>8</v>
      </c>
      <c r="F74" s="3" t="s">
        <v>95</v>
      </c>
    </row>
    <row r="75" spans="1:7" ht="18">
      <c r="D75" s="5"/>
      <c r="E75" s="3" t="s">
        <v>10</v>
      </c>
      <c r="F75" s="3" t="s">
        <v>96</v>
      </c>
      <c r="G75" s="5"/>
    </row>
    <row r="76" spans="1:7" ht="18">
      <c r="A76" s="2">
        <v>0.8</v>
      </c>
      <c r="B76" s="3" t="s">
        <v>32</v>
      </c>
      <c r="C76" s="3" t="s">
        <v>97</v>
      </c>
      <c r="D76" s="4">
        <v>1481</v>
      </c>
      <c r="E76" s="3" t="s">
        <v>8</v>
      </c>
      <c r="F76" s="3" t="s">
        <v>98</v>
      </c>
    </row>
    <row r="77" spans="1:7" ht="18">
      <c r="D77" s="5"/>
      <c r="E77" s="3" t="s">
        <v>10</v>
      </c>
      <c r="F77" s="3" t="s">
        <v>99</v>
      </c>
      <c r="G77" s="5"/>
    </row>
    <row r="78" spans="1:7" ht="18">
      <c r="D78" s="5"/>
      <c r="E78" s="3" t="s">
        <v>15</v>
      </c>
      <c r="F78" s="3" t="s">
        <v>100</v>
      </c>
      <c r="G78" s="5"/>
    </row>
    <row r="79" spans="1:7" ht="18">
      <c r="A79" s="2">
        <v>0.8</v>
      </c>
      <c r="B79" s="3" t="s">
        <v>12</v>
      </c>
      <c r="C79" s="3" t="s">
        <v>33</v>
      </c>
      <c r="D79" s="4">
        <v>1789</v>
      </c>
      <c r="E79" s="3" t="s">
        <v>10</v>
      </c>
      <c r="F79" s="3" t="s">
        <v>101</v>
      </c>
    </row>
    <row r="80" spans="1:7" ht="18">
      <c r="D80" s="5"/>
      <c r="E80" s="3" t="s">
        <v>15</v>
      </c>
      <c r="F80" s="3" t="s">
        <v>102</v>
      </c>
      <c r="G80" s="5"/>
    </row>
    <row r="81" spans="1:8" ht="18">
      <c r="D81" s="5"/>
      <c r="E81" s="3" t="s">
        <v>17</v>
      </c>
      <c r="F81" s="3" t="s">
        <v>103</v>
      </c>
      <c r="G81" s="5"/>
    </row>
    <row r="82" spans="1:8" ht="18">
      <c r="D82" s="5"/>
      <c r="E82" s="3" t="s">
        <v>19</v>
      </c>
      <c r="F82" s="3" t="s">
        <v>104</v>
      </c>
      <c r="G82" s="5"/>
      <c r="H82" s="5"/>
    </row>
    <row r="83" spans="1:8" ht="18">
      <c r="A83" s="2">
        <v>0.8</v>
      </c>
      <c r="B83" s="3" t="s">
        <v>21</v>
      </c>
      <c r="C83" s="3" t="s">
        <v>53</v>
      </c>
      <c r="D83" s="4">
        <v>2059</v>
      </c>
      <c r="E83" s="3" t="s">
        <v>15</v>
      </c>
      <c r="F83" s="3" t="s">
        <v>105</v>
      </c>
      <c r="H83" s="5"/>
    </row>
    <row r="84" spans="1:8" ht="18">
      <c r="D84" s="5"/>
      <c r="E84" s="3" t="s">
        <v>17</v>
      </c>
      <c r="F84" s="3" t="s">
        <v>106</v>
      </c>
      <c r="G84" s="5"/>
      <c r="H84" s="5"/>
    </row>
    <row r="85" spans="1:8" ht="18">
      <c r="D85" s="5"/>
      <c r="E85" s="3" t="s">
        <v>19</v>
      </c>
      <c r="F85" s="3" t="s">
        <v>107</v>
      </c>
      <c r="G85" s="5"/>
      <c r="H85" s="5"/>
    </row>
    <row r="86" spans="1:8" ht="18">
      <c r="D86" s="5"/>
      <c r="E86" s="3" t="s">
        <v>26</v>
      </c>
      <c r="F86" s="3" t="s">
        <v>108</v>
      </c>
      <c r="G86" s="5"/>
      <c r="H86" s="5"/>
    </row>
    <row r="87" spans="1:8" ht="18">
      <c r="D87" s="5"/>
      <c r="E87" s="3" t="s">
        <v>28</v>
      </c>
      <c r="F87" s="3" t="s">
        <v>109</v>
      </c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B5F9-8CA5-624B-884E-31BD0B70FB40}">
  <dimension ref="A1:G39"/>
  <sheetViews>
    <sheetView workbookViewId="0">
      <selection activeCell="H2" sqref="H2"/>
    </sheetView>
  </sheetViews>
  <sheetFormatPr baseColWidth="10" defaultRowHeight="16"/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8">
      <c r="A2" s="2">
        <v>0.7</v>
      </c>
      <c r="B2" s="3" t="s">
        <v>6</v>
      </c>
      <c r="C2" s="3" t="s">
        <v>49</v>
      </c>
      <c r="D2" s="4">
        <v>1320</v>
      </c>
      <c r="E2" s="3" t="s">
        <v>8</v>
      </c>
      <c r="F2" s="3" t="s">
        <v>119</v>
      </c>
    </row>
    <row r="3" spans="1:7" ht="18">
      <c r="D3" s="5"/>
      <c r="E3" s="3" t="s">
        <v>10</v>
      </c>
      <c r="F3" s="3" t="s">
        <v>120</v>
      </c>
      <c r="G3" s="5"/>
    </row>
    <row r="4" spans="1:7" ht="18">
      <c r="A4" s="2">
        <v>0.7</v>
      </c>
      <c r="B4" s="3" t="s">
        <v>32</v>
      </c>
      <c r="C4" s="3" t="s">
        <v>7</v>
      </c>
      <c r="D4" s="4">
        <v>1409</v>
      </c>
      <c r="E4" s="3" t="s">
        <v>8</v>
      </c>
      <c r="F4" s="3" t="s">
        <v>121</v>
      </c>
    </row>
    <row r="5" spans="1:7" ht="18">
      <c r="D5" s="5"/>
      <c r="E5" s="3" t="s">
        <v>10</v>
      </c>
      <c r="F5" s="3" t="s">
        <v>122</v>
      </c>
      <c r="G5" s="5"/>
    </row>
    <row r="6" spans="1:7" ht="18">
      <c r="D6" s="5"/>
      <c r="E6" s="3" t="s">
        <v>15</v>
      </c>
      <c r="F6" s="3" t="s">
        <v>123</v>
      </c>
      <c r="G6" s="5"/>
    </row>
    <row r="7" spans="1:7" ht="18">
      <c r="A7" s="2">
        <v>0.7</v>
      </c>
      <c r="B7" s="3" t="s">
        <v>12</v>
      </c>
      <c r="C7" s="3" t="s">
        <v>124</v>
      </c>
      <c r="D7" s="4">
        <v>1683</v>
      </c>
      <c r="E7" s="3" t="s">
        <v>10</v>
      </c>
      <c r="F7" s="3" t="s">
        <v>125</v>
      </c>
    </row>
    <row r="8" spans="1:7" ht="18">
      <c r="D8" s="5"/>
      <c r="E8" s="3" t="s">
        <v>15</v>
      </c>
      <c r="F8" s="3" t="s">
        <v>126</v>
      </c>
      <c r="G8" s="5"/>
    </row>
    <row r="9" spans="1:7" ht="18">
      <c r="D9" s="5"/>
      <c r="E9" s="3" t="s">
        <v>17</v>
      </c>
      <c r="F9" s="3" t="s">
        <v>127</v>
      </c>
      <c r="G9" s="5"/>
    </row>
    <row r="10" spans="1:7" ht="18">
      <c r="D10" s="5"/>
      <c r="E10" s="3" t="s">
        <v>19</v>
      </c>
      <c r="F10" s="3" t="s">
        <v>128</v>
      </c>
      <c r="G10" s="5"/>
    </row>
    <row r="11" spans="1:7" ht="18">
      <c r="A11" s="2">
        <v>0.7</v>
      </c>
      <c r="B11" s="3" t="s">
        <v>21</v>
      </c>
      <c r="C11" s="3" t="s">
        <v>129</v>
      </c>
      <c r="D11" s="4">
        <v>1933</v>
      </c>
      <c r="E11" s="3" t="s">
        <v>15</v>
      </c>
      <c r="F11" s="3" t="s">
        <v>130</v>
      </c>
    </row>
    <row r="12" spans="1:7" ht="18">
      <c r="D12" s="5"/>
      <c r="E12" s="3" t="s">
        <v>17</v>
      </c>
      <c r="F12" s="3" t="s">
        <v>131</v>
      </c>
      <c r="G12" s="5"/>
    </row>
    <row r="13" spans="1:7" ht="18">
      <c r="D13" s="5"/>
      <c r="E13" s="3" t="s">
        <v>19</v>
      </c>
      <c r="F13" s="3" t="s">
        <v>132</v>
      </c>
      <c r="G13" s="5"/>
    </row>
    <row r="14" spans="1:7" ht="18">
      <c r="D14" s="5"/>
      <c r="E14" s="3" t="s">
        <v>26</v>
      </c>
      <c r="F14" s="3" t="s">
        <v>133</v>
      </c>
      <c r="G14" s="5"/>
    </row>
    <row r="15" spans="1:7" ht="18">
      <c r="D15" s="5"/>
      <c r="E15" s="3" t="s">
        <v>28</v>
      </c>
      <c r="F15" s="3" t="s">
        <v>134</v>
      </c>
      <c r="G15" s="5"/>
    </row>
    <row r="16" spans="1:7" ht="18">
      <c r="A16" s="2">
        <v>0.8</v>
      </c>
      <c r="B16" s="3" t="s">
        <v>6</v>
      </c>
      <c r="C16" s="3" t="s">
        <v>22</v>
      </c>
      <c r="D16" s="4">
        <v>1519</v>
      </c>
      <c r="E16" s="3" t="s">
        <v>8</v>
      </c>
      <c r="F16" s="3" t="s">
        <v>135</v>
      </c>
    </row>
    <row r="17" spans="1:7" ht="18">
      <c r="D17" s="5"/>
      <c r="E17" s="3" t="s">
        <v>10</v>
      </c>
      <c r="F17" s="3" t="s">
        <v>136</v>
      </c>
      <c r="G17" s="5"/>
    </row>
    <row r="18" spans="1:7" ht="18">
      <c r="A18" s="2">
        <v>0.8</v>
      </c>
      <c r="B18" s="3" t="s">
        <v>32</v>
      </c>
      <c r="C18" s="3" t="s">
        <v>13</v>
      </c>
      <c r="D18" s="4">
        <v>1623</v>
      </c>
      <c r="E18" s="3" t="s">
        <v>8</v>
      </c>
      <c r="F18" s="3" t="s">
        <v>137</v>
      </c>
    </row>
    <row r="19" spans="1:7" ht="18">
      <c r="D19" s="5"/>
      <c r="E19" s="3" t="s">
        <v>10</v>
      </c>
      <c r="F19" s="3" t="s">
        <v>138</v>
      </c>
      <c r="G19" s="5"/>
    </row>
    <row r="20" spans="1:7" ht="18">
      <c r="D20" s="5"/>
      <c r="E20" s="3" t="s">
        <v>15</v>
      </c>
      <c r="F20" s="3" t="s">
        <v>139</v>
      </c>
      <c r="G20" s="5"/>
    </row>
    <row r="21" spans="1:7" ht="18">
      <c r="A21" s="2">
        <v>0.8</v>
      </c>
      <c r="B21" s="3" t="s">
        <v>21</v>
      </c>
      <c r="C21" s="3" t="s">
        <v>140</v>
      </c>
      <c r="D21" s="4">
        <v>2229</v>
      </c>
      <c r="E21" s="3" t="s">
        <v>15</v>
      </c>
      <c r="F21" s="3" t="s">
        <v>141</v>
      </c>
    </row>
    <row r="22" spans="1:7" ht="18">
      <c r="D22" s="5"/>
      <c r="E22" s="3" t="s">
        <v>17</v>
      </c>
      <c r="F22" s="3" t="s">
        <v>142</v>
      </c>
      <c r="G22" s="5"/>
    </row>
    <row r="23" spans="1:7" ht="18">
      <c r="D23" s="5"/>
      <c r="E23" s="3" t="s">
        <v>19</v>
      </c>
      <c r="F23" s="3" t="s">
        <v>143</v>
      </c>
      <c r="G23" s="5"/>
    </row>
    <row r="24" spans="1:7" ht="18">
      <c r="D24" s="5"/>
      <c r="E24" s="3" t="s">
        <v>26</v>
      </c>
      <c r="F24" s="3" t="s">
        <v>144</v>
      </c>
      <c r="G24" s="5"/>
    </row>
    <row r="25" spans="1:7" ht="18">
      <c r="D25" s="5"/>
      <c r="E25" s="3" t="s">
        <v>28</v>
      </c>
      <c r="F25" s="3" t="s">
        <v>145</v>
      </c>
      <c r="G25" s="5"/>
    </row>
    <row r="26" spans="1:7" ht="18">
      <c r="A26" s="2">
        <v>1.3</v>
      </c>
      <c r="B26" s="3" t="s">
        <v>6</v>
      </c>
      <c r="C26" s="3" t="s">
        <v>146</v>
      </c>
      <c r="D26" s="4">
        <v>2644</v>
      </c>
      <c r="E26" s="3" t="s">
        <v>8</v>
      </c>
      <c r="F26" s="3" t="s">
        <v>147</v>
      </c>
    </row>
    <row r="27" spans="1:7" ht="18">
      <c r="D27" s="5"/>
      <c r="E27" s="3" t="s">
        <v>10</v>
      </c>
      <c r="F27" s="3" t="s">
        <v>148</v>
      </c>
      <c r="G27" s="5"/>
    </row>
    <row r="28" spans="1:7" ht="18">
      <c r="A28" s="2">
        <v>1.3</v>
      </c>
      <c r="B28" s="3" t="s">
        <v>32</v>
      </c>
      <c r="C28" s="3" t="s">
        <v>7</v>
      </c>
      <c r="D28" s="4">
        <v>2827</v>
      </c>
      <c r="E28" s="3" t="s">
        <v>8</v>
      </c>
      <c r="F28" s="3" t="s">
        <v>149</v>
      </c>
    </row>
    <row r="29" spans="1:7" ht="18">
      <c r="D29" s="5"/>
      <c r="E29" s="3" t="s">
        <v>10</v>
      </c>
      <c r="F29" s="3" t="s">
        <v>150</v>
      </c>
      <c r="G29" s="5"/>
    </row>
    <row r="30" spans="1:7" ht="18">
      <c r="D30" s="5"/>
      <c r="E30" s="3" t="s">
        <v>15</v>
      </c>
      <c r="F30" s="3" t="s">
        <v>151</v>
      </c>
      <c r="G30" s="5"/>
    </row>
    <row r="31" spans="1:7" ht="18">
      <c r="A31" s="2">
        <v>1.3</v>
      </c>
      <c r="B31" s="3" t="s">
        <v>12</v>
      </c>
      <c r="C31" s="3" t="s">
        <v>146</v>
      </c>
      <c r="D31" s="4">
        <v>3381</v>
      </c>
      <c r="E31" s="3" t="s">
        <v>10</v>
      </c>
      <c r="F31" s="3" t="s">
        <v>152</v>
      </c>
    </row>
    <row r="32" spans="1:7" ht="18">
      <c r="D32" s="5"/>
      <c r="E32" s="3" t="s">
        <v>15</v>
      </c>
      <c r="F32" s="3" t="s">
        <v>153</v>
      </c>
      <c r="G32" s="5"/>
    </row>
    <row r="33" spans="1:7" ht="18">
      <c r="D33" s="5"/>
      <c r="E33" s="3" t="s">
        <v>17</v>
      </c>
      <c r="F33" s="3" t="s">
        <v>154</v>
      </c>
      <c r="G33" s="5"/>
    </row>
    <row r="34" spans="1:7" ht="18">
      <c r="D34" s="5"/>
      <c r="E34" s="3" t="s">
        <v>19</v>
      </c>
      <c r="F34" s="3" t="s">
        <v>155</v>
      </c>
      <c r="G34" s="5"/>
    </row>
    <row r="35" spans="1:7" ht="18">
      <c r="A35" s="2">
        <v>1.3</v>
      </c>
      <c r="B35" s="3" t="s">
        <v>21</v>
      </c>
      <c r="C35" s="3" t="s">
        <v>129</v>
      </c>
      <c r="D35" s="4">
        <v>3897</v>
      </c>
      <c r="E35" s="3" t="s">
        <v>15</v>
      </c>
      <c r="F35" s="3" t="s">
        <v>156</v>
      </c>
    </row>
    <row r="36" spans="1:7" ht="18">
      <c r="D36" s="5"/>
      <c r="E36" s="3" t="s">
        <v>17</v>
      </c>
      <c r="F36" s="3" t="s">
        <v>157</v>
      </c>
      <c r="G36" s="5"/>
    </row>
    <row r="37" spans="1:7" ht="18">
      <c r="D37" s="5"/>
      <c r="E37" s="3" t="s">
        <v>19</v>
      </c>
      <c r="F37" s="3" t="s">
        <v>158</v>
      </c>
      <c r="G37" s="5"/>
    </row>
    <row r="38" spans="1:7" ht="18">
      <c r="D38" s="5"/>
      <c r="E38" s="3" t="s">
        <v>26</v>
      </c>
      <c r="F38" s="3" t="s">
        <v>159</v>
      </c>
      <c r="G38" s="5"/>
    </row>
    <row r="39" spans="1:7" ht="18">
      <c r="D39" s="5"/>
      <c r="E39" s="3" t="s">
        <v>28</v>
      </c>
      <c r="F39" s="3" t="s">
        <v>160</v>
      </c>
      <c r="G3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B0B4-F422-B24C-800E-EC417D882150}">
  <dimension ref="A1:Q57"/>
  <sheetViews>
    <sheetView tabSelected="1" workbookViewId="0">
      <selection activeCell="M12" sqref="M12"/>
    </sheetView>
  </sheetViews>
  <sheetFormatPr baseColWidth="10" defaultRowHeight="16"/>
  <cols>
    <col min="1" max="1" width="8.33203125" customWidth="1"/>
    <col min="2" max="2" width="13.5" customWidth="1"/>
    <col min="11" max="11" width="9.33203125" customWidth="1"/>
    <col min="12" max="12" width="5.5" customWidth="1"/>
    <col min="13" max="13" width="6.5" customWidth="1"/>
    <col min="14" max="14" width="6.6640625" customWidth="1"/>
    <col min="15" max="15" width="5.6640625" customWidth="1"/>
    <col min="16" max="16" width="6" customWidth="1"/>
    <col min="17" max="17" width="5.5" customWidth="1"/>
  </cols>
  <sheetData>
    <row r="1" spans="1:17" ht="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17" ht="18">
      <c r="A2" s="2">
        <v>0.4</v>
      </c>
      <c r="B2" s="3" t="s">
        <v>6</v>
      </c>
      <c r="C2" s="3" t="s">
        <v>81</v>
      </c>
      <c r="D2" s="4">
        <v>625</v>
      </c>
      <c r="E2" s="3" t="s">
        <v>8</v>
      </c>
      <c r="F2" s="3" t="s">
        <v>161</v>
      </c>
      <c r="I2">
        <v>15</v>
      </c>
      <c r="L2" s="12"/>
      <c r="M2" s="12" t="s">
        <v>6</v>
      </c>
      <c r="N2" s="12" t="s">
        <v>225</v>
      </c>
      <c r="O2" s="12" t="s">
        <v>226</v>
      </c>
      <c r="P2" s="12" t="s">
        <v>227</v>
      </c>
      <c r="Q2" s="12" t="s">
        <v>228</v>
      </c>
    </row>
    <row r="3" spans="1:17" ht="18">
      <c r="D3" s="5"/>
      <c r="E3" s="3" t="s">
        <v>10</v>
      </c>
      <c r="F3" s="3" t="s">
        <v>162</v>
      </c>
      <c r="G3" s="5"/>
      <c r="L3" s="13">
        <v>0.4</v>
      </c>
      <c r="M3" s="12">
        <v>15</v>
      </c>
      <c r="N3" s="12">
        <v>11</v>
      </c>
      <c r="O3" s="12">
        <v>21</v>
      </c>
      <c r="P3" s="12">
        <v>2</v>
      </c>
      <c r="Q3" s="12">
        <f>SUM(M3:P3)</f>
        <v>49</v>
      </c>
    </row>
    <row r="4" spans="1:17" ht="18">
      <c r="A4" s="2">
        <v>0.4</v>
      </c>
      <c r="B4" s="3" t="s">
        <v>32</v>
      </c>
      <c r="C4" s="3" t="s">
        <v>163</v>
      </c>
      <c r="D4" s="4">
        <v>791</v>
      </c>
      <c r="E4" s="3" t="s">
        <v>8</v>
      </c>
      <c r="F4" s="3" t="s">
        <v>164</v>
      </c>
      <c r="I4">
        <v>11</v>
      </c>
      <c r="L4" s="13">
        <v>0.5</v>
      </c>
      <c r="M4" s="12">
        <v>15</v>
      </c>
      <c r="N4" s="12">
        <v>12</v>
      </c>
      <c r="O4" s="12">
        <v>22</v>
      </c>
      <c r="P4" s="12">
        <v>3</v>
      </c>
      <c r="Q4" s="12">
        <f t="shared" ref="Q4:Q6" si="0">SUM(M4:P4)</f>
        <v>52</v>
      </c>
    </row>
    <row r="5" spans="1:17" ht="18">
      <c r="D5" s="5"/>
      <c r="E5" s="3" t="s">
        <v>10</v>
      </c>
      <c r="F5" s="3" t="s">
        <v>165</v>
      </c>
      <c r="G5" s="5"/>
      <c r="L5" s="13">
        <v>1</v>
      </c>
      <c r="M5" s="12">
        <v>22</v>
      </c>
      <c r="N5" s="12">
        <v>16</v>
      </c>
      <c r="O5" s="12">
        <v>32</v>
      </c>
      <c r="P5" s="12">
        <v>4</v>
      </c>
      <c r="Q5" s="12">
        <f t="shared" si="0"/>
        <v>74</v>
      </c>
    </row>
    <row r="6" spans="1:17" ht="18">
      <c r="D6" s="5"/>
      <c r="E6" s="3" t="s">
        <v>15</v>
      </c>
      <c r="F6" s="3" t="s">
        <v>166</v>
      </c>
      <c r="G6" s="5"/>
      <c r="I6">
        <v>21</v>
      </c>
      <c r="L6" s="13">
        <v>1.65</v>
      </c>
      <c r="M6" s="12">
        <v>23</v>
      </c>
      <c r="N6" s="12">
        <v>24</v>
      </c>
      <c r="O6" s="12">
        <v>41</v>
      </c>
      <c r="P6" s="12">
        <v>5</v>
      </c>
      <c r="Q6" s="12">
        <f t="shared" si="0"/>
        <v>93</v>
      </c>
    </row>
    <row r="7" spans="1:17" ht="18">
      <c r="A7" s="2">
        <v>0.4</v>
      </c>
      <c r="B7" s="3" t="s">
        <v>12</v>
      </c>
      <c r="C7" s="3" t="s">
        <v>167</v>
      </c>
      <c r="D7" s="4">
        <v>940</v>
      </c>
      <c r="E7" s="3" t="s">
        <v>10</v>
      </c>
      <c r="F7" s="3" t="s">
        <v>168</v>
      </c>
      <c r="L7" s="14" t="s">
        <v>228</v>
      </c>
      <c r="M7" s="12">
        <f>SUM(M3:M6)</f>
        <v>75</v>
      </c>
      <c r="N7" s="12">
        <f t="shared" ref="N7:P7" si="1">SUM(N3:N6)</f>
        <v>63</v>
      </c>
      <c r="O7" s="12">
        <f t="shared" si="1"/>
        <v>116</v>
      </c>
      <c r="P7" s="12">
        <f t="shared" si="1"/>
        <v>14</v>
      </c>
      <c r="Q7" s="12">
        <f>SUM(M7:P7)</f>
        <v>268</v>
      </c>
    </row>
    <row r="8" spans="1:17" ht="18">
      <c r="D8" s="5"/>
      <c r="E8" s="3" t="s">
        <v>15</v>
      </c>
      <c r="F8" s="3" t="s">
        <v>169</v>
      </c>
      <c r="G8" s="5"/>
    </row>
    <row r="9" spans="1:17" ht="18">
      <c r="D9" s="5"/>
      <c r="E9" s="3" t="s">
        <v>17</v>
      </c>
      <c r="F9" s="3" t="s">
        <v>170</v>
      </c>
      <c r="G9" s="5"/>
    </row>
    <row r="10" spans="1:17" ht="18">
      <c r="D10" s="5"/>
      <c r="E10" s="3" t="s">
        <v>19</v>
      </c>
      <c r="F10" s="3" t="s">
        <v>171</v>
      </c>
      <c r="G10" s="5"/>
    </row>
    <row r="11" spans="1:17" ht="18">
      <c r="A11" s="2">
        <v>0.4</v>
      </c>
      <c r="B11" s="3" t="s">
        <v>21</v>
      </c>
      <c r="C11" s="3" t="s">
        <v>140</v>
      </c>
      <c r="D11" s="4">
        <v>1078</v>
      </c>
      <c r="E11" s="3" t="s">
        <v>15</v>
      </c>
      <c r="F11" s="3" t="s">
        <v>172</v>
      </c>
      <c r="I11">
        <v>2</v>
      </c>
    </row>
    <row r="12" spans="1:17" ht="18">
      <c r="D12" s="5"/>
      <c r="E12" s="3" t="s">
        <v>17</v>
      </c>
      <c r="F12" s="3" t="s">
        <v>173</v>
      </c>
      <c r="G12" s="5"/>
    </row>
    <row r="13" spans="1:17" ht="18">
      <c r="D13" s="5"/>
      <c r="E13" s="3" t="s">
        <v>19</v>
      </c>
      <c r="F13" s="3" t="s">
        <v>174</v>
      </c>
      <c r="G13" s="5"/>
    </row>
    <row r="14" spans="1:17" ht="18">
      <c r="D14" s="5"/>
      <c r="E14" s="3" t="s">
        <v>26</v>
      </c>
      <c r="F14" s="3" t="s">
        <v>175</v>
      </c>
      <c r="G14" s="5"/>
    </row>
    <row r="15" spans="1:17" ht="18">
      <c r="D15" s="5"/>
      <c r="E15" s="3" t="s">
        <v>28</v>
      </c>
      <c r="F15" s="3" t="s">
        <v>176</v>
      </c>
      <c r="G15" s="5"/>
    </row>
    <row r="16" spans="1:17" ht="18">
      <c r="A16" s="2">
        <v>0.5</v>
      </c>
      <c r="B16" s="3" t="s">
        <v>6</v>
      </c>
      <c r="C16" s="3" t="s">
        <v>81</v>
      </c>
      <c r="D16" s="4">
        <v>826</v>
      </c>
      <c r="E16" s="3" t="s">
        <v>8</v>
      </c>
      <c r="F16" s="3" t="s">
        <v>177</v>
      </c>
      <c r="I16">
        <v>15</v>
      </c>
    </row>
    <row r="17" spans="1:9" ht="18">
      <c r="D17" s="5"/>
      <c r="E17" s="3" t="s">
        <v>10</v>
      </c>
      <c r="F17" s="3" t="s">
        <v>178</v>
      </c>
      <c r="G17" s="5"/>
    </row>
    <row r="18" spans="1:9" ht="18">
      <c r="A18" s="2">
        <v>0.5</v>
      </c>
      <c r="B18" s="3" t="s">
        <v>32</v>
      </c>
      <c r="C18" s="3" t="s">
        <v>49</v>
      </c>
      <c r="D18" s="4">
        <v>1042</v>
      </c>
      <c r="E18" s="3" t="s">
        <v>8</v>
      </c>
      <c r="F18" s="3" t="s">
        <v>222</v>
      </c>
      <c r="I18">
        <v>12</v>
      </c>
    </row>
    <row r="19" spans="1:9" ht="18">
      <c r="D19" s="5"/>
      <c r="E19" s="3" t="s">
        <v>10</v>
      </c>
      <c r="F19" s="3" t="s">
        <v>223</v>
      </c>
      <c r="G19" s="5"/>
    </row>
    <row r="20" spans="1:9" ht="18">
      <c r="D20" s="5"/>
      <c r="E20" s="3" t="s">
        <v>15</v>
      </c>
      <c r="F20" s="3" t="s">
        <v>224</v>
      </c>
      <c r="G20" s="5"/>
    </row>
    <row r="21" spans="1:9" ht="18">
      <c r="A21" s="2">
        <v>0.5</v>
      </c>
      <c r="B21" s="3" t="s">
        <v>12</v>
      </c>
      <c r="C21" s="3" t="s">
        <v>179</v>
      </c>
      <c r="D21" s="4">
        <v>1241</v>
      </c>
      <c r="E21" s="3" t="s">
        <v>10</v>
      </c>
      <c r="F21" s="3" t="s">
        <v>180</v>
      </c>
      <c r="I21">
        <v>22</v>
      </c>
    </row>
    <row r="22" spans="1:9" ht="18">
      <c r="D22" s="5"/>
      <c r="E22" s="3" t="s">
        <v>15</v>
      </c>
      <c r="F22" s="3" t="s">
        <v>181</v>
      </c>
      <c r="G22" s="5"/>
    </row>
    <row r="23" spans="1:9" ht="18">
      <c r="D23" s="5"/>
      <c r="E23" s="3" t="s">
        <v>17</v>
      </c>
      <c r="F23" s="3" t="s">
        <v>182</v>
      </c>
      <c r="G23" s="5"/>
    </row>
    <row r="24" spans="1:9" ht="18">
      <c r="D24" s="5"/>
      <c r="E24" s="3" t="s">
        <v>19</v>
      </c>
      <c r="F24" s="3" t="s">
        <v>183</v>
      </c>
      <c r="G24" s="5"/>
    </row>
    <row r="25" spans="1:9" ht="18">
      <c r="A25" s="2">
        <v>0.5</v>
      </c>
      <c r="B25" s="3" t="s">
        <v>21</v>
      </c>
      <c r="C25" s="3" t="s">
        <v>58</v>
      </c>
      <c r="D25" s="4">
        <v>1424</v>
      </c>
      <c r="E25" s="3" t="s">
        <v>15</v>
      </c>
      <c r="F25" s="3" t="s">
        <v>184</v>
      </c>
      <c r="I25">
        <v>3</v>
      </c>
    </row>
    <row r="26" spans="1:9" ht="18">
      <c r="D26" s="5"/>
      <c r="E26" s="3" t="s">
        <v>17</v>
      </c>
      <c r="F26" s="3" t="s">
        <v>185</v>
      </c>
      <c r="G26" s="5"/>
    </row>
    <row r="27" spans="1:9" ht="18">
      <c r="D27" s="5"/>
      <c r="E27" s="3" t="s">
        <v>19</v>
      </c>
      <c r="F27" s="3" t="s">
        <v>186</v>
      </c>
      <c r="G27" s="5"/>
    </row>
    <row r="28" spans="1:9" ht="18">
      <c r="D28" s="5"/>
      <c r="E28" s="3" t="s">
        <v>26</v>
      </c>
      <c r="F28" s="3" t="s">
        <v>187</v>
      </c>
      <c r="G28" s="5"/>
    </row>
    <row r="29" spans="1:9" ht="18">
      <c r="D29" s="5"/>
      <c r="E29" s="3" t="s">
        <v>28</v>
      </c>
      <c r="F29" s="3" t="s">
        <v>188</v>
      </c>
      <c r="G29" s="5"/>
      <c r="I29">
        <f>SUM(I2:I25)</f>
        <v>101</v>
      </c>
    </row>
    <row r="30" spans="1:9" ht="18">
      <c r="A30" s="2">
        <v>1</v>
      </c>
      <c r="B30" s="3" t="s">
        <v>6</v>
      </c>
      <c r="C30" s="3" t="s">
        <v>179</v>
      </c>
      <c r="D30" s="4">
        <v>1426</v>
      </c>
      <c r="E30" s="3" t="s">
        <v>8</v>
      </c>
      <c r="F30" s="3" t="s">
        <v>189</v>
      </c>
      <c r="I30">
        <v>22</v>
      </c>
    </row>
    <row r="31" spans="1:9" ht="18">
      <c r="D31" s="5"/>
      <c r="E31" s="3" t="s">
        <v>10</v>
      </c>
      <c r="F31" s="3" t="s">
        <v>190</v>
      </c>
      <c r="G31" s="5"/>
    </row>
    <row r="32" spans="1:9" ht="18">
      <c r="A32" s="2">
        <v>1</v>
      </c>
      <c r="B32" s="3" t="s">
        <v>32</v>
      </c>
      <c r="C32" s="3" t="s">
        <v>191</v>
      </c>
      <c r="D32" s="4">
        <v>1792</v>
      </c>
      <c r="E32" s="3" t="s">
        <v>8</v>
      </c>
      <c r="F32" s="3" t="s">
        <v>192</v>
      </c>
      <c r="I32">
        <v>16</v>
      </c>
    </row>
    <row r="33" spans="1:9" ht="18">
      <c r="D33" s="5"/>
      <c r="E33" s="3" t="s">
        <v>10</v>
      </c>
      <c r="F33" s="3" t="s">
        <v>193</v>
      </c>
      <c r="G33" s="5"/>
    </row>
    <row r="34" spans="1:9" ht="18">
      <c r="D34" s="5"/>
      <c r="E34" s="3" t="s">
        <v>15</v>
      </c>
      <c r="F34" s="3" t="s">
        <v>194</v>
      </c>
      <c r="G34" s="5"/>
    </row>
    <row r="35" spans="1:9" ht="18">
      <c r="A35" s="2">
        <v>1</v>
      </c>
      <c r="B35" s="3" t="s">
        <v>12</v>
      </c>
      <c r="C35" s="3" t="s">
        <v>195</v>
      </c>
      <c r="D35" s="4">
        <v>2141</v>
      </c>
      <c r="E35" s="3" t="s">
        <v>10</v>
      </c>
      <c r="F35" s="3" t="s">
        <v>196</v>
      </c>
      <c r="I35">
        <v>32</v>
      </c>
    </row>
    <row r="36" spans="1:9" ht="18">
      <c r="D36" s="5"/>
      <c r="E36" s="3" t="s">
        <v>15</v>
      </c>
      <c r="F36" s="3" t="s">
        <v>197</v>
      </c>
      <c r="G36" s="5"/>
    </row>
    <row r="37" spans="1:9" ht="18">
      <c r="D37" s="5"/>
      <c r="E37" s="3" t="s">
        <v>17</v>
      </c>
      <c r="F37" s="3" t="s">
        <v>198</v>
      </c>
      <c r="G37" s="5"/>
    </row>
    <row r="38" spans="1:9" ht="18">
      <c r="D38" s="5"/>
      <c r="E38" s="3" t="s">
        <v>19</v>
      </c>
      <c r="F38" s="3" t="s">
        <v>199</v>
      </c>
      <c r="G38" s="5"/>
    </row>
    <row r="39" spans="1:9" ht="18">
      <c r="A39" s="2">
        <v>1</v>
      </c>
      <c r="B39" s="3" t="s">
        <v>21</v>
      </c>
      <c r="C39" s="3" t="s">
        <v>53</v>
      </c>
      <c r="D39" s="4">
        <v>2465</v>
      </c>
      <c r="E39" s="3" t="s">
        <v>15</v>
      </c>
      <c r="F39" s="3" t="s">
        <v>200</v>
      </c>
      <c r="I39">
        <v>4</v>
      </c>
    </row>
    <row r="40" spans="1:9" ht="18">
      <c r="D40" s="5"/>
      <c r="E40" s="3" t="s">
        <v>17</v>
      </c>
      <c r="F40" s="3" t="s">
        <v>201</v>
      </c>
      <c r="G40" s="5"/>
    </row>
    <row r="41" spans="1:9" ht="18">
      <c r="D41" s="5"/>
      <c r="E41" s="3" t="s">
        <v>19</v>
      </c>
      <c r="F41" s="3" t="s">
        <v>202</v>
      </c>
      <c r="G41" s="5"/>
    </row>
    <row r="42" spans="1:9" ht="18">
      <c r="D42" s="5"/>
      <c r="E42" s="3" t="s">
        <v>26</v>
      </c>
      <c r="F42" s="3" t="s">
        <v>203</v>
      </c>
      <c r="G42" s="5"/>
    </row>
    <row r="43" spans="1:9" ht="18">
      <c r="D43" s="5"/>
      <c r="E43" s="3" t="s">
        <v>28</v>
      </c>
      <c r="F43" s="3" t="s">
        <v>204</v>
      </c>
      <c r="G43" s="5"/>
      <c r="I43">
        <f>SUM(I30:I39)</f>
        <v>74</v>
      </c>
    </row>
    <row r="44" spans="1:9" ht="18">
      <c r="A44" s="2">
        <v>1.65</v>
      </c>
      <c r="B44" s="3" t="s">
        <v>6</v>
      </c>
      <c r="C44" s="3" t="s">
        <v>205</v>
      </c>
      <c r="D44" s="4">
        <v>1815</v>
      </c>
      <c r="E44" s="3" t="s">
        <v>8</v>
      </c>
      <c r="F44" s="3" t="s">
        <v>206</v>
      </c>
      <c r="I44">
        <v>23</v>
      </c>
    </row>
    <row r="45" spans="1:9" ht="18">
      <c r="D45" s="5"/>
      <c r="E45" s="3" t="s">
        <v>10</v>
      </c>
      <c r="F45" s="3" t="s">
        <v>207</v>
      </c>
      <c r="G45" s="5"/>
    </row>
    <row r="46" spans="1:9" ht="18">
      <c r="A46" s="2">
        <v>1.65</v>
      </c>
      <c r="B46" s="3" t="s">
        <v>32</v>
      </c>
      <c r="C46" s="3" t="s">
        <v>208</v>
      </c>
      <c r="D46" s="4">
        <v>2278</v>
      </c>
      <c r="E46" s="3" t="s">
        <v>8</v>
      </c>
      <c r="F46" s="3" t="s">
        <v>209</v>
      </c>
      <c r="I46">
        <v>24</v>
      </c>
    </row>
    <row r="47" spans="1:9" ht="18">
      <c r="D47" s="5"/>
      <c r="E47" s="3" t="s">
        <v>10</v>
      </c>
      <c r="F47" s="3" t="s">
        <v>210</v>
      </c>
      <c r="G47" s="5"/>
    </row>
    <row r="48" spans="1:9" ht="18">
      <c r="D48" s="5"/>
      <c r="E48" s="3" t="s">
        <v>15</v>
      </c>
      <c r="F48" s="3" t="s">
        <v>211</v>
      </c>
      <c r="G48" s="5"/>
    </row>
    <row r="49" spans="1:9" ht="18">
      <c r="A49" s="2">
        <v>1.65</v>
      </c>
      <c r="B49" s="3" t="s">
        <v>12</v>
      </c>
      <c r="C49" s="3" t="s">
        <v>212</v>
      </c>
      <c r="D49" s="4">
        <v>2726</v>
      </c>
      <c r="E49" s="3" t="s">
        <v>10</v>
      </c>
      <c r="F49" s="3" t="s">
        <v>213</v>
      </c>
      <c r="I49">
        <v>41</v>
      </c>
    </row>
    <row r="50" spans="1:9" ht="18">
      <c r="D50" s="5"/>
      <c r="E50" s="3" t="s">
        <v>15</v>
      </c>
      <c r="F50" s="3" t="s">
        <v>214</v>
      </c>
      <c r="G50" s="5"/>
    </row>
    <row r="51" spans="1:9" ht="18">
      <c r="D51" s="5"/>
      <c r="E51" s="3" t="s">
        <v>17</v>
      </c>
      <c r="F51" s="3" t="s">
        <v>215</v>
      </c>
      <c r="G51" s="5"/>
    </row>
    <row r="52" spans="1:9" ht="18">
      <c r="D52" s="5"/>
      <c r="E52" s="3" t="s">
        <v>19</v>
      </c>
      <c r="F52" s="3" t="s">
        <v>216</v>
      </c>
      <c r="G52" s="5"/>
    </row>
    <row r="53" spans="1:9" ht="18">
      <c r="A53" s="2">
        <v>1.65</v>
      </c>
      <c r="B53" s="3" t="s">
        <v>21</v>
      </c>
      <c r="C53" s="3" t="s">
        <v>22</v>
      </c>
      <c r="D53" s="4">
        <v>3142</v>
      </c>
      <c r="E53" s="3" t="s">
        <v>15</v>
      </c>
      <c r="F53" s="3" t="s">
        <v>217</v>
      </c>
      <c r="I53">
        <v>5</v>
      </c>
    </row>
    <row r="54" spans="1:9" ht="18">
      <c r="D54" s="5"/>
      <c r="E54" s="3" t="s">
        <v>17</v>
      </c>
      <c r="F54" s="3" t="s">
        <v>218</v>
      </c>
      <c r="G54" s="5"/>
    </row>
    <row r="55" spans="1:9" ht="18">
      <c r="D55" s="5"/>
      <c r="E55" s="3" t="s">
        <v>19</v>
      </c>
      <c r="F55" s="3" t="s">
        <v>219</v>
      </c>
      <c r="G55" s="5"/>
    </row>
    <row r="56" spans="1:9" ht="18">
      <c r="D56" s="5"/>
      <c r="E56" s="3" t="s">
        <v>26</v>
      </c>
      <c r="F56" s="3" t="s">
        <v>220</v>
      </c>
      <c r="G56" s="5"/>
    </row>
    <row r="57" spans="1:9" ht="18">
      <c r="D57" s="5"/>
      <c r="E57" s="3" t="s">
        <v>28</v>
      </c>
      <c r="F57" s="3" t="s">
        <v>221</v>
      </c>
      <c r="G57" s="5"/>
      <c r="I57">
        <f>SUM(I44:I53)</f>
        <v>93</v>
      </c>
    </row>
  </sheetData>
  <pageMargins left="0.7" right="0.7" top="0.75" bottom="0.75" header="0.3" footer="0.3"/>
  <ignoredErrors>
    <ignoredError sqref="Q3:Q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RIVER CREST APARTMENTS</vt:lpstr>
      <vt:lpstr>Sheet2</vt:lpstr>
      <vt:lpstr>One East Harlem Residences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2022-05-18T23:43:34Z</dcterms:created>
  <dcterms:modified xsi:type="dcterms:W3CDTF">2022-06-10T15:09:58Z</dcterms:modified>
</cp:coreProperties>
</file>